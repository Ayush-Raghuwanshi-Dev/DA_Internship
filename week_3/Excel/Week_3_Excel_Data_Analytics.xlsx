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_6_Format_Sort_Filter" sheetId="1" state="visible" r:id="rId1"/>
    <sheet name="Task_7_Conditional_Functions" sheetId="2" state="visible" r:id="rId2"/>
    <sheet name="Task_8_VLOOKUP_XLOOKUP" sheetId="3" state="visible" r:id="rId3"/>
    <sheet name="Task_9_Pivot_and_Charts" sheetId="4" state="visible" r:id="rId4"/>
  </sheets>
  <definedNames>
    <definedName name="_xlnm._FilterDatabase" localSheetId="0" hidden="1">'Task_6_Format_Sort_Filter'!$A$4:$J$29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onsolas"/>
      <color rgb="001E3A8A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AFAFA"/>
        <bgColor rgb="00FAFAFA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5" fillId="4" borderId="2" applyAlignment="1" pivotButton="0" quotePrefix="0" xfId="0">
      <alignment horizontal="left"/>
    </xf>
    <xf numFmtId="0" fontId="0" fillId="4" borderId="2" pivotButton="0" quotePrefix="0" xfId="0"/>
    <xf numFmtId="164" fontId="5" fillId="4" borderId="2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5" fillId="4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6" fillId="6" borderId="1" pivotButton="0" quotePrefix="0" xfId="0"/>
    <xf numFmtId="1" fontId="5" fillId="6" borderId="1" pivotButton="0" quotePrefix="0" xfId="0"/>
    <xf numFmtId="164" fontId="5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0" pivotButton="0" quotePrefix="0" xfId="0"/>
    <xf numFmtId="165" fontId="4" fillId="0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0" fontId="5" fillId="4" borderId="2" pivotButton="0" quotePrefix="0" xfId="0"/>
    <xf numFmtId="164" fontId="5" fillId="4" borderId="2" pivotButton="0" quotePrefix="0" xfId="0"/>
    <xf numFmtId="165" fontId="5" fillId="4" borderId="2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65F46"/>
      </font>
      <fill>
        <patternFill patternType="solid">
          <fgColor rgb="00D1FAE5"/>
          <bgColor rgb="00D1FAE5"/>
        </patternFill>
      </fill>
    </dxf>
    <dxf>
      <font>
        <b val="1"/>
        <color rgb="0092400E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Department Payroll Expenditure vs. Total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'Task_9_Pivot_and_Charts'!D4</f>
            </strRef>
          </tx>
          <spPr>
            <a:ln>
              <a:prstDash val="solid"/>
            </a:ln>
          </spPr>
          <cat>
            <numRef>
              <f>'Task_9_Pivot_and_Charts'!$B$5:$B$10</f>
            </numRef>
          </cat>
          <val>
            <numRef>
              <f>'Task_9_Pivot_and_Charts'!$D$5:$D$10</f>
            </numRef>
          </val>
        </ser>
        <ser>
          <idx val="1"/>
          <order val="1"/>
          <tx>
            <strRef>
              <f>'Task_9_Pivot_and_Charts'!F4</f>
            </strRef>
          </tx>
          <spPr>
            <a:ln>
              <a:prstDash val="solid"/>
            </a:ln>
          </spPr>
          <cat>
            <numRef>
              <f>'Task_9_Pivot_and_Charts'!$B$5:$B$10</f>
            </numRef>
          </cat>
          <val>
            <numRef>
              <f>'Task_9_Pivot_and_Charts'!$F$5:$F$10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in INR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13" customWidth="1" min="2" max="2"/>
    <col width="12" customWidth="1" min="3" max="3"/>
    <col width="12" customWidth="1" min="4" max="4"/>
    <col width="20" customWidth="1" min="5" max="5"/>
    <col width="28" customWidth="1" min="6" max="6"/>
    <col width="18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COMPANY EMPLOYEE DATASET — SORTED BY SALARY DESCENDING</t>
        </is>
      </c>
    </row>
    <row r="2">
      <c r="A2" s="2" t="inlineStr">
        <is>
          <t>Task 6: Applied professional formatting, currency formatting, borders, and auto-filters.</t>
        </is>
      </c>
    </row>
    <row r="3"/>
    <row r="4" ht="25" customHeight="1">
      <c r="A4" s="3" t="inlineStr">
        <is>
          <t>Emp ID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Dept ID</t>
        </is>
      </c>
      <c r="E4" s="3" t="inlineStr">
        <is>
          <t>Department</t>
        </is>
      </c>
      <c r="F4" s="3" t="inlineStr">
        <is>
          <t>Job Title</t>
        </is>
      </c>
      <c r="G4" s="3" t="inlineStr">
        <is>
          <t>Salary (INR)</t>
        </is>
      </c>
      <c r="H4" s="3" t="inlineStr">
        <is>
          <t>Hire Date</t>
        </is>
      </c>
      <c r="I4" s="3" t="inlineStr">
        <is>
          <t>Rating</t>
        </is>
      </c>
      <c r="J4" s="3" t="inlineStr">
        <is>
          <t>City</t>
        </is>
      </c>
    </row>
    <row r="5">
      <c r="A5" s="4" t="n">
        <v>121</v>
      </c>
      <c r="B5" s="5" t="inlineStr">
        <is>
          <t>Amit</t>
        </is>
      </c>
      <c r="C5" s="5" t="inlineStr">
        <is>
          <t>Chouhan</t>
        </is>
      </c>
      <c r="D5" s="4" t="n">
        <v>1</v>
      </c>
      <c r="E5" s="5" t="inlineStr">
        <is>
          <t>Engineering</t>
        </is>
      </c>
      <c r="F5" s="5" t="inlineStr">
        <is>
          <t>System Architect</t>
        </is>
      </c>
      <c r="G5" s="6" t="n">
        <v>115000</v>
      </c>
      <c r="H5" s="4" t="inlineStr">
        <is>
          <t>2019-09-01</t>
        </is>
      </c>
      <c r="I5" s="4" t="n">
        <v>5</v>
      </c>
      <c r="J5" s="5" t="inlineStr">
        <is>
          <t>Indore</t>
        </is>
      </c>
    </row>
    <row r="6">
      <c r="A6" s="7" t="n">
        <v>109</v>
      </c>
      <c r="B6" s="8" t="inlineStr">
        <is>
          <t>Varun</t>
        </is>
      </c>
      <c r="C6" s="8" t="inlineStr">
        <is>
          <t>Deshmukh</t>
        </is>
      </c>
      <c r="D6" s="7" t="n">
        <v>4</v>
      </c>
      <c r="E6" s="8" t="inlineStr">
        <is>
          <t>Sales &amp; Marketing</t>
        </is>
      </c>
      <c r="F6" s="8" t="inlineStr">
        <is>
          <t>Sales Manager</t>
        </is>
      </c>
      <c r="G6" s="9" t="n">
        <v>92000</v>
      </c>
      <c r="H6" s="7" t="inlineStr">
        <is>
          <t>2020-08-19</t>
        </is>
      </c>
      <c r="I6" s="7" t="n">
        <v>5</v>
      </c>
      <c r="J6" s="8" t="inlineStr">
        <is>
          <t>Bhopal</t>
        </is>
      </c>
    </row>
    <row r="7">
      <c r="A7" s="4" t="n">
        <v>101</v>
      </c>
      <c r="B7" s="5" t="inlineStr">
        <is>
          <t>Aarav</t>
        </is>
      </c>
      <c r="C7" s="5" t="inlineStr">
        <is>
          <t>Sharma</t>
        </is>
      </c>
      <c r="D7" s="4" t="n">
        <v>1</v>
      </c>
      <c r="E7" s="5" t="inlineStr">
        <is>
          <t>Engineering</t>
        </is>
      </c>
      <c r="F7" s="5" t="inlineStr">
        <is>
          <t>Senior Software Engineer</t>
        </is>
      </c>
      <c r="G7" s="6" t="n">
        <v>88000</v>
      </c>
      <c r="H7" s="4" t="inlineStr">
        <is>
          <t>2022-03-15</t>
        </is>
      </c>
      <c r="I7" s="4" t="n">
        <v>5</v>
      </c>
      <c r="J7" s="5" t="inlineStr">
        <is>
          <t>Indore</t>
        </is>
      </c>
    </row>
    <row r="8">
      <c r="A8" s="7" t="n">
        <v>124</v>
      </c>
      <c r="B8" s="8" t="inlineStr">
        <is>
          <t>Bhavna</t>
        </is>
      </c>
      <c r="C8" s="8" t="inlineStr">
        <is>
          <t>Rawat</t>
        </is>
      </c>
      <c r="D8" s="7" t="n">
        <v>2</v>
      </c>
      <c r="E8" s="8" t="inlineStr">
        <is>
          <t>Data Analytics</t>
        </is>
      </c>
      <c r="F8" s="8" t="inlineStr">
        <is>
          <t>Machine Learning Analyst</t>
        </is>
      </c>
      <c r="G8" s="9" t="n">
        <v>88000</v>
      </c>
      <c r="H8" s="7" t="inlineStr">
        <is>
          <t>2021-12-10</t>
        </is>
      </c>
      <c r="I8" s="7" t="n">
        <v>5</v>
      </c>
      <c r="J8" s="8" t="inlineStr">
        <is>
          <t>Indore</t>
        </is>
      </c>
    </row>
    <row r="9">
      <c r="A9" s="4" t="n">
        <v>104</v>
      </c>
      <c r="B9" s="5" t="inlineStr">
        <is>
          <t>Meera</t>
        </is>
      </c>
      <c r="C9" s="5" t="inlineStr">
        <is>
          <t>Rao</t>
        </is>
      </c>
      <c r="D9" s="4" t="n">
        <v>2</v>
      </c>
      <c r="E9" s="5" t="inlineStr">
        <is>
          <t>Data Analytics</t>
        </is>
      </c>
      <c r="F9" s="5" t="inlineStr">
        <is>
          <t>Senior Data Analyst</t>
        </is>
      </c>
      <c r="G9" s="6" t="n">
        <v>85000</v>
      </c>
      <c r="H9" s="4" t="inlineStr">
        <is>
          <t>2021-11-20</t>
        </is>
      </c>
      <c r="I9" s="4" t="n">
        <v>5</v>
      </c>
      <c r="J9" s="5" t="inlineStr">
        <is>
          <t>Indore</t>
        </is>
      </c>
    </row>
    <row r="10">
      <c r="A10" s="7" t="n">
        <v>112</v>
      </c>
      <c r="B10" s="8" t="inlineStr">
        <is>
          <t>Pooja</t>
        </is>
      </c>
      <c r="C10" s="8" t="inlineStr">
        <is>
          <t>Bhatia</t>
        </is>
      </c>
      <c r="D10" s="7" t="n">
        <v>3</v>
      </c>
      <c r="E10" s="8" t="inlineStr">
        <is>
          <t>Human Resources</t>
        </is>
      </c>
      <c r="F10" s="8" t="inlineStr">
        <is>
          <t>HR Manager</t>
        </is>
      </c>
      <c r="G10" s="9" t="n">
        <v>82000</v>
      </c>
      <c r="H10" s="7" t="inlineStr">
        <is>
          <t>2020-06-30</t>
        </is>
      </c>
      <c r="I10" s="7" t="n">
        <v>5</v>
      </c>
      <c r="J10" s="8" t="inlineStr">
        <is>
          <t>Indore</t>
        </is>
      </c>
    </row>
    <row r="11">
      <c r="A11" s="4" t="n">
        <v>115</v>
      </c>
      <c r="B11" s="5" t="inlineStr">
        <is>
          <t>Gaurav</t>
        </is>
      </c>
      <c r="C11" s="5" t="inlineStr">
        <is>
          <t>Yadav</t>
        </is>
      </c>
      <c r="D11" s="4" t="n">
        <v>2</v>
      </c>
      <c r="E11" s="5" t="inlineStr">
        <is>
          <t>Data Analytics</t>
        </is>
      </c>
      <c r="F11" s="5" t="inlineStr">
        <is>
          <t>Data Engineer</t>
        </is>
      </c>
      <c r="G11" s="6" t="n">
        <v>80000</v>
      </c>
      <c r="H11" s="4" t="inlineStr">
        <is>
          <t>2022-04-18</t>
        </is>
      </c>
      <c r="I11" s="4" t="n">
        <v>4</v>
      </c>
      <c r="J11" s="5" t="inlineStr">
        <is>
          <t>Indore</t>
        </is>
      </c>
    </row>
    <row r="12">
      <c r="A12" s="7" t="n">
        <v>103</v>
      </c>
      <c r="B12" s="8" t="inlineStr">
        <is>
          <t>Kabir</t>
        </is>
      </c>
      <c r="C12" s="8" t="inlineStr">
        <is>
          <t>Joshi</t>
        </is>
      </c>
      <c r="D12" s="7" t="n">
        <v>1</v>
      </c>
      <c r="E12" s="8" t="inlineStr">
        <is>
          <t>Engineering</t>
        </is>
      </c>
      <c r="F12" s="8" t="inlineStr">
        <is>
          <t>DevOps Engineer</t>
        </is>
      </c>
      <c r="G12" s="9" t="n">
        <v>78000</v>
      </c>
      <c r="H12" s="7" t="inlineStr">
        <is>
          <t>2022-07-01</t>
        </is>
      </c>
      <c r="I12" s="7" t="n">
        <v>4</v>
      </c>
      <c r="J12" s="8" t="inlineStr">
        <is>
          <t>Bhopal</t>
        </is>
      </c>
    </row>
    <row r="13">
      <c r="A13" s="4" t="n">
        <v>111</v>
      </c>
      <c r="B13" s="5" t="inlineStr">
        <is>
          <t>Manish</t>
        </is>
      </c>
      <c r="C13" s="5" t="inlineStr">
        <is>
          <t>Tiwari</t>
        </is>
      </c>
      <c r="D13" s="4" t="n">
        <v>5</v>
      </c>
      <c r="E13" s="5" t="inlineStr">
        <is>
          <t>Finance</t>
        </is>
      </c>
      <c r="F13" s="5" t="inlineStr">
        <is>
          <t>Senior Accountant</t>
        </is>
      </c>
      <c r="G13" s="6" t="n">
        <v>75000</v>
      </c>
      <c r="H13" s="4" t="inlineStr">
        <is>
          <t>2021-01-15</t>
        </is>
      </c>
      <c r="I13" s="4" t="n">
        <v>4</v>
      </c>
      <c r="J13" s="5" t="inlineStr">
        <is>
          <t>Bhopal</t>
        </is>
      </c>
    </row>
    <row r="14">
      <c r="A14" s="7" t="n">
        <v>113</v>
      </c>
      <c r="B14" s="8" t="inlineStr">
        <is>
          <t>Siddharth</t>
        </is>
      </c>
      <c r="C14" s="8" t="inlineStr">
        <is>
          <t>Malhotra</t>
        </is>
      </c>
      <c r="D14" s="7" t="n">
        <v>1</v>
      </c>
      <c r="E14" s="8" t="inlineStr">
        <is>
          <t>Engineering</t>
        </is>
      </c>
      <c r="F14" s="8" t="inlineStr">
        <is>
          <t>Backend Developer</t>
        </is>
      </c>
      <c r="G14" s="9" t="n">
        <v>74000</v>
      </c>
      <c r="H14" s="7" t="inlineStr">
        <is>
          <t>2022-12-01</t>
        </is>
      </c>
      <c r="I14" s="7" t="n">
        <v>4</v>
      </c>
      <c r="J14" s="8" t="inlineStr">
        <is>
          <t>Indore</t>
        </is>
      </c>
    </row>
    <row r="15">
      <c r="A15" s="4" t="n">
        <v>110</v>
      </c>
      <c r="B15" s="5" t="inlineStr">
        <is>
          <t>Ishita</t>
        </is>
      </c>
      <c r="C15" s="5" t="inlineStr">
        <is>
          <t>Chopra</t>
        </is>
      </c>
      <c r="D15" s="4" t="n">
        <v>2</v>
      </c>
      <c r="E15" s="5" t="inlineStr">
        <is>
          <t>Data Analytics</t>
        </is>
      </c>
      <c r="F15" s="5" t="inlineStr">
        <is>
          <t>BI Developer</t>
        </is>
      </c>
      <c r="G15" s="6" t="n">
        <v>72000</v>
      </c>
      <c r="H15" s="4" t="inlineStr">
        <is>
          <t>2022-10-05</t>
        </is>
      </c>
      <c r="I15" s="4" t="n">
        <v>4</v>
      </c>
      <c r="J15" s="5" t="inlineStr">
        <is>
          <t>Indore</t>
        </is>
      </c>
    </row>
    <row r="16">
      <c r="A16" s="7" t="n">
        <v>107</v>
      </c>
      <c r="B16" s="8" t="inlineStr">
        <is>
          <t>Aditya</t>
        </is>
      </c>
      <c r="C16" s="8" t="inlineStr">
        <is>
          <t>Mishra</t>
        </is>
      </c>
      <c r="D16" s="7" t="n">
        <v>5</v>
      </c>
      <c r="E16" s="8" t="inlineStr">
        <is>
          <t>Finance</t>
        </is>
      </c>
      <c r="F16" s="8" t="inlineStr">
        <is>
          <t>Financial Analyst</t>
        </is>
      </c>
      <c r="G16" s="9" t="n">
        <v>66000</v>
      </c>
      <c r="H16" s="7" t="inlineStr">
        <is>
          <t>2021-04-25</t>
        </is>
      </c>
      <c r="I16" s="7" t="n">
        <v>4</v>
      </c>
      <c r="J16" s="8" t="inlineStr">
        <is>
          <t>Indore</t>
        </is>
      </c>
    </row>
    <row r="17">
      <c r="A17" s="4" t="n">
        <v>102</v>
      </c>
      <c r="B17" s="5" t="inlineStr">
        <is>
          <t>Diya</t>
        </is>
      </c>
      <c r="C17" s="5" t="inlineStr">
        <is>
          <t>Patel</t>
        </is>
      </c>
      <c r="D17" s="4" t="n">
        <v>2</v>
      </c>
      <c r="E17" s="5" t="inlineStr">
        <is>
          <t>Data Analytics</t>
        </is>
      </c>
      <c r="F17" s="5" t="inlineStr">
        <is>
          <t>Data Analyst</t>
        </is>
      </c>
      <c r="G17" s="6" t="n">
        <v>62000</v>
      </c>
      <c r="H17" s="4" t="inlineStr">
        <is>
          <t>2023-01-10</t>
        </is>
      </c>
      <c r="I17" s="4" t="n">
        <v>4</v>
      </c>
      <c r="J17" s="5" t="inlineStr">
        <is>
          <t>Indore</t>
        </is>
      </c>
    </row>
    <row r="18">
      <c r="A18" s="7" t="n">
        <v>108</v>
      </c>
      <c r="B18" s="8" t="inlineStr">
        <is>
          <t>Neha</t>
        </is>
      </c>
      <c r="C18" s="8" t="inlineStr">
        <is>
          <t>Gupta</t>
        </is>
      </c>
      <c r="D18" s="7" t="n">
        <v>1</v>
      </c>
      <c r="E18" s="8" t="inlineStr">
        <is>
          <t>Engineering</t>
        </is>
      </c>
      <c r="F18" s="8" t="inlineStr">
        <is>
          <t>Frontend Developer</t>
        </is>
      </c>
      <c r="G18" s="9" t="n">
        <v>60000</v>
      </c>
      <c r="H18" s="7" t="inlineStr">
        <is>
          <t>2023-02-14</t>
        </is>
      </c>
      <c r="I18" s="7" t="n">
        <v>3</v>
      </c>
      <c r="J18" s="8" t="inlineStr">
        <is>
          <t>Indore</t>
        </is>
      </c>
    </row>
    <row r="19">
      <c r="A19" s="4" t="n">
        <v>116</v>
      </c>
      <c r="B19" s="5" t="inlineStr">
        <is>
          <t>Ananya</t>
        </is>
      </c>
      <c r="C19" s="5" t="inlineStr">
        <is>
          <t>Reddy</t>
        </is>
      </c>
      <c r="D19" s="4" t="n">
        <v>1</v>
      </c>
      <c r="E19" s="5" t="inlineStr">
        <is>
          <t>Engineering</t>
        </is>
      </c>
      <c r="F19" s="5" t="inlineStr">
        <is>
          <t>QA Automation Engineer</t>
        </is>
      </c>
      <c r="G19" s="6" t="n">
        <v>59000</v>
      </c>
      <c r="H19" s="4" t="inlineStr">
        <is>
          <t>2023-03-22</t>
        </is>
      </c>
      <c r="I19" s="4" t="n">
        <v>4</v>
      </c>
      <c r="J19" s="5" t="inlineStr">
        <is>
          <t>Bhopal</t>
        </is>
      </c>
    </row>
    <row r="20">
      <c r="A20" s="7" t="n">
        <v>118</v>
      </c>
      <c r="B20" s="8" t="inlineStr">
        <is>
          <t>Ritu</t>
        </is>
      </c>
      <c r="C20" s="8" t="inlineStr">
        <is>
          <t>Singhania</t>
        </is>
      </c>
      <c r="D20" s="7" t="n">
        <v>4</v>
      </c>
      <c r="E20" s="8" t="inlineStr">
        <is>
          <t>Sales &amp; Marketing</t>
        </is>
      </c>
      <c r="F20" s="8" t="inlineStr">
        <is>
          <t>Business Development Exec</t>
        </is>
      </c>
      <c r="G20" s="9" t="n">
        <v>58000</v>
      </c>
      <c r="H20" s="7" t="inlineStr">
        <is>
          <t>2022-11-15</t>
        </is>
      </c>
      <c r="I20" s="7" t="n">
        <v>4</v>
      </c>
      <c r="J20" s="8" t="inlineStr">
        <is>
          <t>Indore</t>
        </is>
      </c>
    </row>
    <row r="21">
      <c r="A21" s="4" t="n">
        <v>105</v>
      </c>
      <c r="B21" s="5" t="inlineStr">
        <is>
          <t>Rohan</t>
        </is>
      </c>
      <c r="C21" s="5" t="inlineStr">
        <is>
          <t>Verma</t>
        </is>
      </c>
      <c r="D21" s="4" t="n">
        <v>4</v>
      </c>
      <c r="E21" s="5" t="inlineStr">
        <is>
          <t>Sales &amp; Marketing</t>
        </is>
      </c>
      <c r="F21" s="5" t="inlineStr">
        <is>
          <t>Marketing Specialist</t>
        </is>
      </c>
      <c r="G21" s="6" t="n">
        <v>54000</v>
      </c>
      <c r="H21" s="4" t="inlineStr">
        <is>
          <t>2023-05-18</t>
        </is>
      </c>
      <c r="I21" s="4" t="n">
        <v>3</v>
      </c>
      <c r="J21" s="5" t="inlineStr">
        <is>
          <t>Indore</t>
        </is>
      </c>
    </row>
    <row r="22">
      <c r="A22" s="7" t="n">
        <v>122</v>
      </c>
      <c r="B22" s="8" t="inlineStr">
        <is>
          <t>Sanjana</t>
        </is>
      </c>
      <c r="C22" s="8" t="inlineStr">
        <is>
          <t>Bose</t>
        </is>
      </c>
      <c r="D22" s="7" t="n">
        <v>4</v>
      </c>
      <c r="E22" s="8" t="inlineStr">
        <is>
          <t>Sales &amp; Marketing</t>
        </is>
      </c>
      <c r="F22" s="8" t="inlineStr">
        <is>
          <t>Digital Marketer</t>
        </is>
      </c>
      <c r="G22" s="9" t="n">
        <v>53000</v>
      </c>
      <c r="H22" s="7" t="inlineStr">
        <is>
          <t>2023-07-19</t>
        </is>
      </c>
      <c r="I22" s="7" t="n">
        <v>4</v>
      </c>
      <c r="J22" s="8" t="inlineStr">
        <is>
          <t>Bhopal</t>
        </is>
      </c>
    </row>
    <row r="23">
      <c r="A23" s="4" t="n">
        <v>117</v>
      </c>
      <c r="B23" s="5" t="inlineStr">
        <is>
          <t>Harsh</t>
        </is>
      </c>
      <c r="C23" s="5" t="inlineStr">
        <is>
          <t>Vardhan</t>
        </is>
      </c>
      <c r="D23" s="4" t="n">
        <v>5</v>
      </c>
      <c r="E23" s="5" t="inlineStr">
        <is>
          <t>Finance</t>
        </is>
      </c>
      <c r="F23" s="5" t="inlineStr">
        <is>
          <t>Accountant</t>
        </is>
      </c>
      <c r="G23" s="6" t="n">
        <v>52000</v>
      </c>
      <c r="H23" s="4" t="inlineStr">
        <is>
          <t>2023-08-01</t>
        </is>
      </c>
      <c r="I23" s="4" t="n">
        <v>3</v>
      </c>
      <c r="J23" s="5" t="inlineStr">
        <is>
          <t>Indore</t>
        </is>
      </c>
    </row>
    <row r="24">
      <c r="A24" s="7" t="n">
        <v>114</v>
      </c>
      <c r="B24" s="8" t="inlineStr">
        <is>
          <t>Kavya</t>
        </is>
      </c>
      <c r="C24" s="8" t="inlineStr">
        <is>
          <t>Saxena</t>
        </is>
      </c>
      <c r="D24" s="7" t="n">
        <v>4</v>
      </c>
      <c r="E24" s="8" t="inlineStr">
        <is>
          <t>Sales &amp; Marketing</t>
        </is>
      </c>
      <c r="F24" s="8" t="inlineStr">
        <is>
          <t>Content Strategist</t>
        </is>
      </c>
      <c r="G24" s="9" t="n">
        <v>51000</v>
      </c>
      <c r="H24" s="7" t="inlineStr">
        <is>
          <t>2023-06-10</t>
        </is>
      </c>
      <c r="I24" s="7" t="n">
        <v>3</v>
      </c>
      <c r="J24" s="8" t="inlineStr">
        <is>
          <t>Bhopal</t>
        </is>
      </c>
    </row>
    <row r="25">
      <c r="A25" s="4" t="n">
        <v>120</v>
      </c>
      <c r="B25" s="5" t="inlineStr">
        <is>
          <t>Priyanka</t>
        </is>
      </c>
      <c r="C25" s="5" t="inlineStr">
        <is>
          <t>Dubey</t>
        </is>
      </c>
      <c r="D25" s="4" t="n">
        <v>3</v>
      </c>
      <c r="E25" s="5" t="inlineStr">
        <is>
          <t>Human Resources</t>
        </is>
      </c>
      <c r="F25" s="5" t="inlineStr">
        <is>
          <t>Talent Acquisition Exec</t>
        </is>
      </c>
      <c r="G25" s="6" t="n">
        <v>49000</v>
      </c>
      <c r="H25" s="4" t="inlineStr">
        <is>
          <t>2023-04-12</t>
        </is>
      </c>
      <c r="I25" s="4" t="n">
        <v>3</v>
      </c>
      <c r="J25" s="5" t="inlineStr">
        <is>
          <t>Indore</t>
        </is>
      </c>
    </row>
    <row r="26">
      <c r="A26" s="7" t="n">
        <v>106</v>
      </c>
      <c r="B26" s="8" t="inlineStr">
        <is>
          <t>Sneha</t>
        </is>
      </c>
      <c r="C26" s="8" t="inlineStr">
        <is>
          <t>Kulkarni</t>
        </is>
      </c>
      <c r="D26" s="7" t="n">
        <v>3</v>
      </c>
      <c r="E26" s="8" t="inlineStr">
        <is>
          <t>Human Resources</t>
        </is>
      </c>
      <c r="F26" s="8" t="inlineStr">
        <is>
          <t>HR Executive</t>
        </is>
      </c>
      <c r="G26" s="9" t="n">
        <v>48000</v>
      </c>
      <c r="H26" s="7" t="inlineStr">
        <is>
          <t>2022-09-12</t>
        </is>
      </c>
      <c r="I26" s="7" t="n">
        <v>4</v>
      </c>
      <c r="J26" s="8" t="inlineStr">
        <is>
          <t>Bhopal</t>
        </is>
      </c>
    </row>
    <row r="27">
      <c r="A27" s="4" t="n">
        <v>123</v>
      </c>
      <c r="B27" s="5" t="inlineStr">
        <is>
          <t>Nikhil</t>
        </is>
      </c>
      <c r="C27" s="5" t="inlineStr">
        <is>
          <t>Shukla</t>
        </is>
      </c>
      <c r="D27" s="4" t="n">
        <v>5</v>
      </c>
      <c r="E27" s="5" t="inlineStr">
        <is>
          <t>Finance</t>
        </is>
      </c>
      <c r="F27" s="5" t="inlineStr">
        <is>
          <t>Finance Executive</t>
        </is>
      </c>
      <c r="G27" s="6" t="n">
        <v>48000</v>
      </c>
      <c r="H27" s="4" t="inlineStr">
        <is>
          <t>2024-02-01</t>
        </is>
      </c>
      <c r="I27" s="4" t="n">
        <v>3</v>
      </c>
      <c r="J27" s="5" t="inlineStr">
        <is>
          <t>Indore</t>
        </is>
      </c>
    </row>
    <row r="28">
      <c r="A28" s="7" t="n">
        <v>119</v>
      </c>
      <c r="B28" s="8" t="inlineStr">
        <is>
          <t>Kunal</t>
        </is>
      </c>
      <c r="C28" s="8" t="inlineStr">
        <is>
          <t>Pandey</t>
        </is>
      </c>
      <c r="D28" s="7" t="n">
        <v>2</v>
      </c>
      <c r="E28" s="8" t="inlineStr">
        <is>
          <t>Data Analytics</t>
        </is>
      </c>
      <c r="F28" s="8" t="inlineStr">
        <is>
          <t>Junior Data Analyst</t>
        </is>
      </c>
      <c r="G28" s="9" t="n">
        <v>45000</v>
      </c>
      <c r="H28" s="7" t="inlineStr">
        <is>
          <t>2024-01-08</t>
        </is>
      </c>
      <c r="I28" s="7" t="n">
        <v>3</v>
      </c>
      <c r="J28" s="8" t="inlineStr">
        <is>
          <t>Bhopal</t>
        </is>
      </c>
    </row>
    <row r="29">
      <c r="A29" s="4" t="n">
        <v>125</v>
      </c>
      <c r="B29" s="5" t="inlineStr">
        <is>
          <t>Tanvi</t>
        </is>
      </c>
      <c r="C29" s="5" t="inlineStr">
        <is>
          <t>Bansal</t>
        </is>
      </c>
      <c r="D29" s="4" t="n"/>
      <c r="E29" s="5" t="inlineStr">
        <is>
          <t>Unassigned</t>
        </is>
      </c>
      <c r="F29" s="5" t="inlineStr">
        <is>
          <t>Graduate Trainee</t>
        </is>
      </c>
      <c r="G29" s="6" t="n">
        <v>32000</v>
      </c>
      <c r="H29" s="4" t="inlineStr">
        <is>
          <t>2024-03-01</t>
        </is>
      </c>
      <c r="I29" s="4" t="n">
        <v>3</v>
      </c>
      <c r="J29" s="5" t="inlineStr">
        <is>
          <t>Indore</t>
        </is>
      </c>
    </row>
    <row r="30">
      <c r="A30" s="10" t="inlineStr">
        <is>
          <t>TOTAL PAYROLL</t>
        </is>
      </c>
      <c r="B30" s="11" t="n"/>
      <c r="C30" s="11" t="n"/>
      <c r="D30" s="11" t="n"/>
      <c r="E30" s="11" t="n"/>
      <c r="F30" s="11" t="n"/>
      <c r="G30" s="12">
        <f>SUM(G5:G29)</f>
        <v/>
      </c>
      <c r="H30" s="11" t="n"/>
      <c r="I30" s="11" t="n"/>
      <c r="J30" s="11" t="n"/>
    </row>
  </sheetData>
  <autoFilter ref="A4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1" customWidth="1" min="2" max="2"/>
    <col width="20" customWidth="1" min="3" max="3"/>
    <col width="28" customWidth="1" min="4" max="4"/>
    <col width="15" customWidth="1" min="5" max="5"/>
    <col width="12" customWidth="1" min="6" max="6"/>
    <col width="45" customWidth="1" min="7" max="7"/>
    <col width="12" customWidth="1" min="8" max="8"/>
    <col width="36" customWidth="1" min="9" max="9"/>
    <col width="12" customWidth="1" min="10" max="10"/>
    <col width="44" customWidth="1" min="11" max="11"/>
    <col width="46" customWidth="1" min="12" max="12"/>
  </cols>
  <sheetData>
    <row r="1">
      <c r="A1" s="1" t="inlineStr">
        <is>
          <t>EMPLOYEE PERFORMANCE &amp; PAYROLL FUNCTIONS</t>
        </is>
      </c>
    </row>
    <row r="2">
      <c r="A2" s="2" t="inlineStr">
        <is>
          <t>Task 7: Demonstrating IF(), COUNTIF(), SUMIF() functions and conditional formatting rules.</t>
        </is>
      </c>
    </row>
    <row r="3"/>
    <row r="4" ht="25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Job Title</t>
        </is>
      </c>
      <c r="E4" s="3" t="inlineStr">
        <is>
          <t>Salary (INR)</t>
        </is>
      </c>
      <c r="F4" s="3" t="inlineStr">
        <is>
          <t>Rating</t>
        </is>
      </c>
      <c r="G4" s="3" t="inlineStr">
        <is>
          <t>Salary Category (IF)</t>
        </is>
      </c>
      <c r="I4" s="13" t="inlineStr">
        <is>
          <t>EXCEL FUNCTIONS SUMMARY DASHBOARD</t>
        </is>
      </c>
    </row>
    <row r="5">
      <c r="A5" s="4" t="n">
        <v>121</v>
      </c>
      <c r="B5" s="5" t="inlineStr">
        <is>
          <t>Amit Chouhan</t>
        </is>
      </c>
      <c r="C5" s="5" t="inlineStr">
        <is>
          <t>Engineering</t>
        </is>
      </c>
      <c r="D5" s="5" t="inlineStr">
        <is>
          <t>System Architect</t>
        </is>
      </c>
      <c r="E5" s="6" t="n">
        <v>115000</v>
      </c>
      <c r="F5" s="4" t="n">
        <v>5</v>
      </c>
      <c r="G5" s="4">
        <f>IF(E5&gt;=75000, "High Earner", "Standard")</f>
        <v/>
      </c>
      <c r="I5" s="14" t="inlineStr">
        <is>
          <t>Metric Description</t>
        </is>
      </c>
      <c r="J5" s="14" t="n"/>
      <c r="K5" s="14" t="inlineStr">
        <is>
          <t>Excel Formula Applied</t>
        </is>
      </c>
      <c r="L5" s="14" t="inlineStr">
        <is>
          <t>Calculated Result</t>
        </is>
      </c>
    </row>
    <row r="6">
      <c r="A6" s="7" t="n">
        <v>109</v>
      </c>
      <c r="B6" s="8" t="inlineStr">
        <is>
          <t>Varun Deshmukh</t>
        </is>
      </c>
      <c r="C6" s="8" t="inlineStr">
        <is>
          <t>Sales &amp; Marketing</t>
        </is>
      </c>
      <c r="D6" s="8" t="inlineStr">
        <is>
          <t>Sales Manager</t>
        </is>
      </c>
      <c r="E6" s="9" t="n">
        <v>92000</v>
      </c>
      <c r="F6" s="7" t="n">
        <v>5</v>
      </c>
      <c r="G6" s="7">
        <f>IF(E6&gt;=75000, "High Earner", "Standard")</f>
        <v/>
      </c>
      <c r="I6" s="15" t="inlineStr">
        <is>
          <t>Engineering Headcount</t>
        </is>
      </c>
      <c r="J6" s="16" t="n"/>
      <c r="K6" s="17" t="inlineStr">
        <is>
          <t>'=COUNTIF(C5:C29, "Engineering")</t>
        </is>
      </c>
      <c r="L6" s="18">
        <f>COUNTIF(C5:C29, "Engineering")</f>
        <v/>
      </c>
    </row>
    <row r="7">
      <c r="A7" s="4" t="n">
        <v>101</v>
      </c>
      <c r="B7" s="5" t="inlineStr">
        <is>
          <t>Aarav Sharma</t>
        </is>
      </c>
      <c r="C7" s="5" t="inlineStr">
        <is>
          <t>Engineering</t>
        </is>
      </c>
      <c r="D7" s="5" t="inlineStr">
        <is>
          <t>Senior Software Engineer</t>
        </is>
      </c>
      <c r="E7" s="6" t="n">
        <v>88000</v>
      </c>
      <c r="F7" s="4" t="n">
        <v>5</v>
      </c>
      <c r="G7" s="4">
        <f>IF(E7&gt;=75000, "High Earner", "Standard")</f>
        <v/>
      </c>
      <c r="I7" s="15" t="inlineStr">
        <is>
          <t>Data Analytics Headcount</t>
        </is>
      </c>
      <c r="J7" s="16" t="n"/>
      <c r="K7" s="17" t="inlineStr">
        <is>
          <t>'=COUNTIF(C5:C29, "Data Analytics")</t>
        </is>
      </c>
      <c r="L7" s="18">
        <f>COUNTIF(C5:C29, "Data Analytics")</f>
        <v/>
      </c>
    </row>
    <row r="8">
      <c r="A8" s="7" t="n">
        <v>124</v>
      </c>
      <c r="B8" s="8" t="inlineStr">
        <is>
          <t>Bhavna Rawat</t>
        </is>
      </c>
      <c r="C8" s="8" t="inlineStr">
        <is>
          <t>Data Analytics</t>
        </is>
      </c>
      <c r="D8" s="8" t="inlineStr">
        <is>
          <t>Machine Learning Analyst</t>
        </is>
      </c>
      <c r="E8" s="9" t="n">
        <v>88000</v>
      </c>
      <c r="F8" s="7" t="n">
        <v>5</v>
      </c>
      <c r="G8" s="7">
        <f>IF(E8&gt;=75000, "High Earner", "Standard")</f>
        <v/>
      </c>
      <c r="I8" s="15" t="inlineStr">
        <is>
          <t>Sales &amp; Marketing Headcount</t>
        </is>
      </c>
      <c r="J8" s="16" t="n"/>
      <c r="K8" s="17" t="inlineStr">
        <is>
          <t>'=COUNTIF(C5:C29, "Sales &amp; Marketing")</t>
        </is>
      </c>
      <c r="L8" s="18">
        <f>COUNTIF(C5:C29, "Sales &amp; Marketing")</f>
        <v/>
      </c>
    </row>
    <row r="9">
      <c r="A9" s="4" t="n">
        <v>104</v>
      </c>
      <c r="B9" s="5" t="inlineStr">
        <is>
          <t>Meera Rao</t>
        </is>
      </c>
      <c r="C9" s="5" t="inlineStr">
        <is>
          <t>Data Analytics</t>
        </is>
      </c>
      <c r="D9" s="5" t="inlineStr">
        <is>
          <t>Senior Data Analyst</t>
        </is>
      </c>
      <c r="E9" s="6" t="n">
        <v>85000</v>
      </c>
      <c r="F9" s="4" t="n">
        <v>5</v>
      </c>
      <c r="G9" s="4">
        <f>IF(E9&gt;=75000, "High Earner", "Standard")</f>
        <v/>
      </c>
      <c r="I9" s="15" t="inlineStr">
        <is>
          <t>Finance Headcount</t>
        </is>
      </c>
      <c r="J9" s="16" t="n"/>
      <c r="K9" s="17" t="inlineStr">
        <is>
          <t>'=COUNTIF(C5:C29, "Finance")</t>
        </is>
      </c>
      <c r="L9" s="18">
        <f>COUNTIF(C5:C29, "Finance")</f>
        <v/>
      </c>
    </row>
    <row r="10">
      <c r="A10" s="7" t="n">
        <v>112</v>
      </c>
      <c r="B10" s="8" t="inlineStr">
        <is>
          <t>Pooja Bhatia</t>
        </is>
      </c>
      <c r="C10" s="8" t="inlineStr">
        <is>
          <t>Human Resources</t>
        </is>
      </c>
      <c r="D10" s="8" t="inlineStr">
        <is>
          <t>HR Manager</t>
        </is>
      </c>
      <c r="E10" s="9" t="n">
        <v>82000</v>
      </c>
      <c r="F10" s="7" t="n">
        <v>5</v>
      </c>
      <c r="G10" s="7">
        <f>IF(E10&gt;=75000, "High Earner", "Standard")</f>
        <v/>
      </c>
      <c r="I10" s="15" t="inlineStr">
        <is>
          <t>HR Headcount</t>
        </is>
      </c>
      <c r="J10" s="16" t="n"/>
      <c r="K10" s="17" t="inlineStr">
        <is>
          <t>'=COUNTIF(C5:C29, "Human Resources")</t>
        </is>
      </c>
      <c r="L10" s="18">
        <f>COUNTIF(C5:C29, "Human Resources")</f>
        <v/>
      </c>
    </row>
    <row r="11">
      <c r="A11" s="4" t="n">
        <v>115</v>
      </c>
      <c r="B11" s="5" t="inlineStr">
        <is>
          <t>Gaurav Yadav</t>
        </is>
      </c>
      <c r="C11" s="5" t="inlineStr">
        <is>
          <t>Data Analytics</t>
        </is>
      </c>
      <c r="D11" s="5" t="inlineStr">
        <is>
          <t>Data Engineer</t>
        </is>
      </c>
      <c r="E11" s="6" t="n">
        <v>80000</v>
      </c>
      <c r="F11" s="4" t="n">
        <v>4</v>
      </c>
      <c r="G11" s="4">
        <f>IF(E11&gt;=75000, "High Earner", "Standard")</f>
        <v/>
      </c>
      <c r="I11" s="15" t="inlineStr">
        <is>
          <t>High Performers (Rating = 5)</t>
        </is>
      </c>
      <c r="J11" s="16" t="n"/>
      <c r="K11" s="17" t="inlineStr">
        <is>
          <t>'=COUNTIF(F5:F29, 5)</t>
        </is>
      </c>
      <c r="L11" s="18">
        <f>COUNTIF(F5:F29, 5)</f>
        <v/>
      </c>
    </row>
    <row r="12">
      <c r="A12" s="7" t="n">
        <v>103</v>
      </c>
      <c r="B12" s="8" t="inlineStr">
        <is>
          <t>Kabir Joshi</t>
        </is>
      </c>
      <c r="C12" s="8" t="inlineStr">
        <is>
          <t>Engineering</t>
        </is>
      </c>
      <c r="D12" s="8" t="inlineStr">
        <is>
          <t>DevOps Engineer</t>
        </is>
      </c>
      <c r="E12" s="9" t="n">
        <v>78000</v>
      </c>
      <c r="F12" s="7" t="n">
        <v>4</v>
      </c>
      <c r="G12" s="7">
        <f>IF(E12&gt;=75000, "High Earner", "Standard")</f>
        <v/>
      </c>
      <c r="I12" s="15" t="inlineStr">
        <is>
          <t>Engineering Total Payroll</t>
        </is>
      </c>
      <c r="J12" s="16" t="n"/>
      <c r="K12" s="17" t="inlineStr">
        <is>
          <t>'=SUMIF(C5:C29, "Engineering", E5:E29)</t>
        </is>
      </c>
      <c r="L12" s="19">
        <f>SUMIF(C5:C29, "Engineering", E5:E29)</f>
        <v/>
      </c>
    </row>
    <row r="13">
      <c r="A13" s="4" t="n">
        <v>111</v>
      </c>
      <c r="B13" s="5" t="inlineStr">
        <is>
          <t>Manish Tiwari</t>
        </is>
      </c>
      <c r="C13" s="5" t="inlineStr">
        <is>
          <t>Finance</t>
        </is>
      </c>
      <c r="D13" s="5" t="inlineStr">
        <is>
          <t>Senior Accountant</t>
        </is>
      </c>
      <c r="E13" s="6" t="n">
        <v>75000</v>
      </c>
      <c r="F13" s="4" t="n">
        <v>4</v>
      </c>
      <c r="G13" s="4">
        <f>IF(E13&gt;=75000, "High Earner", "Standard")</f>
        <v/>
      </c>
      <c r="I13" s="15" t="inlineStr">
        <is>
          <t>Data Analytics Total Payroll</t>
        </is>
      </c>
      <c r="J13" s="16" t="n"/>
      <c r="K13" s="17" t="inlineStr">
        <is>
          <t>'=SUMIF(C5:C29, "Data Analytics", E5:E29)</t>
        </is>
      </c>
      <c r="L13" s="19">
        <f>SUMIF(C5:C29, "Data Analytics", E5:E29)</f>
        <v/>
      </c>
    </row>
    <row r="14">
      <c r="A14" s="7" t="n">
        <v>113</v>
      </c>
      <c r="B14" s="8" t="inlineStr">
        <is>
          <t>Siddharth Malhotra</t>
        </is>
      </c>
      <c r="C14" s="8" t="inlineStr">
        <is>
          <t>Engineering</t>
        </is>
      </c>
      <c r="D14" s="8" t="inlineStr">
        <is>
          <t>Backend Developer</t>
        </is>
      </c>
      <c r="E14" s="9" t="n">
        <v>74000</v>
      </c>
      <c r="F14" s="7" t="n">
        <v>4</v>
      </c>
      <c r="G14" s="7">
        <f>IF(E14&gt;=75000, "High Earner", "Standard")</f>
        <v/>
      </c>
      <c r="I14" s="15" t="inlineStr">
        <is>
          <t>High Earners Count</t>
        </is>
      </c>
      <c r="J14" s="16" t="n"/>
      <c r="K14" s="17" t="inlineStr">
        <is>
          <t>'=COUNTIF(G5:G29, "High Earner")</t>
        </is>
      </c>
      <c r="L14" s="18">
        <f>COUNTIF(G5:G29, "High Earner")</f>
        <v/>
      </c>
    </row>
    <row r="15">
      <c r="A15" s="4" t="n">
        <v>110</v>
      </c>
      <c r="B15" s="5" t="inlineStr">
        <is>
          <t>Ishita Chopra</t>
        </is>
      </c>
      <c r="C15" s="5" t="inlineStr">
        <is>
          <t>Data Analytics</t>
        </is>
      </c>
      <c r="D15" s="5" t="inlineStr">
        <is>
          <t>BI Developer</t>
        </is>
      </c>
      <c r="E15" s="6" t="n">
        <v>72000</v>
      </c>
      <c r="F15" s="4" t="n">
        <v>4</v>
      </c>
      <c r="G15" s="4">
        <f>IF(E15&gt;=75000, "High Earner", "Standard")</f>
        <v/>
      </c>
    </row>
    <row r="16">
      <c r="A16" s="7" t="n">
        <v>107</v>
      </c>
      <c r="B16" s="8" t="inlineStr">
        <is>
          <t>Aditya Mishra</t>
        </is>
      </c>
      <c r="C16" s="8" t="inlineStr">
        <is>
          <t>Finance</t>
        </is>
      </c>
      <c r="D16" s="8" t="inlineStr">
        <is>
          <t>Financial Analyst</t>
        </is>
      </c>
      <c r="E16" s="9" t="n">
        <v>66000</v>
      </c>
      <c r="F16" s="7" t="n">
        <v>4</v>
      </c>
      <c r="G16" s="7">
        <f>IF(E16&gt;=75000, "High Earner", "Standard")</f>
        <v/>
      </c>
    </row>
    <row r="17">
      <c r="A17" s="4" t="n">
        <v>102</v>
      </c>
      <c r="B17" s="5" t="inlineStr">
        <is>
          <t>Diya Patel</t>
        </is>
      </c>
      <c r="C17" s="5" t="inlineStr">
        <is>
          <t>Data Analytics</t>
        </is>
      </c>
      <c r="D17" s="5" t="inlineStr">
        <is>
          <t>Data Analyst</t>
        </is>
      </c>
      <c r="E17" s="6" t="n">
        <v>62000</v>
      </c>
      <c r="F17" s="4" t="n">
        <v>4</v>
      </c>
      <c r="G17" s="4">
        <f>IF(E17&gt;=75000, "High Earner", "Standard")</f>
        <v/>
      </c>
    </row>
    <row r="18">
      <c r="A18" s="7" t="n">
        <v>108</v>
      </c>
      <c r="B18" s="8" t="inlineStr">
        <is>
          <t>Neha Gupta</t>
        </is>
      </c>
      <c r="C18" s="8" t="inlineStr">
        <is>
          <t>Engineering</t>
        </is>
      </c>
      <c r="D18" s="8" t="inlineStr">
        <is>
          <t>Frontend Developer</t>
        </is>
      </c>
      <c r="E18" s="9" t="n">
        <v>60000</v>
      </c>
      <c r="F18" s="7" t="n">
        <v>3</v>
      </c>
      <c r="G18" s="7">
        <f>IF(E18&gt;=75000, "High Earner", "Standard")</f>
        <v/>
      </c>
    </row>
    <row r="19">
      <c r="A19" s="4" t="n">
        <v>116</v>
      </c>
      <c r="B19" s="5" t="inlineStr">
        <is>
          <t>Ananya Reddy</t>
        </is>
      </c>
      <c r="C19" s="5" t="inlineStr">
        <is>
          <t>Engineering</t>
        </is>
      </c>
      <c r="D19" s="5" t="inlineStr">
        <is>
          <t>QA Automation Engineer</t>
        </is>
      </c>
      <c r="E19" s="6" t="n">
        <v>59000</v>
      </c>
      <c r="F19" s="4" t="n">
        <v>4</v>
      </c>
      <c r="G19" s="4">
        <f>IF(E19&gt;=75000, "High Earner", "Standard")</f>
        <v/>
      </c>
    </row>
    <row r="20">
      <c r="A20" s="7" t="n">
        <v>118</v>
      </c>
      <c r="B20" s="8" t="inlineStr">
        <is>
          <t>Ritu Singhania</t>
        </is>
      </c>
      <c r="C20" s="8" t="inlineStr">
        <is>
          <t>Sales &amp; Marketing</t>
        </is>
      </c>
      <c r="D20" s="8" t="inlineStr">
        <is>
          <t>Business Development Exec</t>
        </is>
      </c>
      <c r="E20" s="9" t="n">
        <v>58000</v>
      </c>
      <c r="F20" s="7" t="n">
        <v>4</v>
      </c>
      <c r="G20" s="7">
        <f>IF(E20&gt;=75000, "High Earner", "Standard")</f>
        <v/>
      </c>
    </row>
    <row r="21">
      <c r="A21" s="4" t="n">
        <v>105</v>
      </c>
      <c r="B21" s="5" t="inlineStr">
        <is>
          <t>Rohan Verma</t>
        </is>
      </c>
      <c r="C21" s="5" t="inlineStr">
        <is>
          <t>Sales &amp; Marketing</t>
        </is>
      </c>
      <c r="D21" s="5" t="inlineStr">
        <is>
          <t>Marketing Specialist</t>
        </is>
      </c>
      <c r="E21" s="6" t="n">
        <v>54000</v>
      </c>
      <c r="F21" s="4" t="n">
        <v>3</v>
      </c>
      <c r="G21" s="4">
        <f>IF(E21&gt;=75000, "High Earner", "Standard")</f>
        <v/>
      </c>
    </row>
    <row r="22">
      <c r="A22" s="7" t="n">
        <v>122</v>
      </c>
      <c r="B22" s="8" t="inlineStr">
        <is>
          <t>Sanjana Bose</t>
        </is>
      </c>
      <c r="C22" s="8" t="inlineStr">
        <is>
          <t>Sales &amp; Marketing</t>
        </is>
      </c>
      <c r="D22" s="8" t="inlineStr">
        <is>
          <t>Digital Marketer</t>
        </is>
      </c>
      <c r="E22" s="9" t="n">
        <v>53000</v>
      </c>
      <c r="F22" s="7" t="n">
        <v>4</v>
      </c>
      <c r="G22" s="7">
        <f>IF(E22&gt;=75000, "High Earner", "Standard")</f>
        <v/>
      </c>
    </row>
    <row r="23">
      <c r="A23" s="4" t="n">
        <v>117</v>
      </c>
      <c r="B23" s="5" t="inlineStr">
        <is>
          <t>Harsh Vardhan</t>
        </is>
      </c>
      <c r="C23" s="5" t="inlineStr">
        <is>
          <t>Finance</t>
        </is>
      </c>
      <c r="D23" s="5" t="inlineStr">
        <is>
          <t>Accountant</t>
        </is>
      </c>
      <c r="E23" s="6" t="n">
        <v>52000</v>
      </c>
      <c r="F23" s="4" t="n">
        <v>3</v>
      </c>
      <c r="G23" s="4">
        <f>IF(E23&gt;=75000, "High Earner", "Standard")</f>
        <v/>
      </c>
    </row>
    <row r="24">
      <c r="A24" s="7" t="n">
        <v>114</v>
      </c>
      <c r="B24" s="8" t="inlineStr">
        <is>
          <t>Kavya Saxena</t>
        </is>
      </c>
      <c r="C24" s="8" t="inlineStr">
        <is>
          <t>Sales &amp; Marketing</t>
        </is>
      </c>
      <c r="D24" s="8" t="inlineStr">
        <is>
          <t>Content Strategist</t>
        </is>
      </c>
      <c r="E24" s="9" t="n">
        <v>51000</v>
      </c>
      <c r="F24" s="7" t="n">
        <v>3</v>
      </c>
      <c r="G24" s="7">
        <f>IF(E24&gt;=75000, "High Earner", "Standard")</f>
        <v/>
      </c>
    </row>
    <row r="25">
      <c r="A25" s="4" t="n">
        <v>120</v>
      </c>
      <c r="B25" s="5" t="inlineStr">
        <is>
          <t>Priyanka Dubey</t>
        </is>
      </c>
      <c r="C25" s="5" t="inlineStr">
        <is>
          <t>Human Resources</t>
        </is>
      </c>
      <c r="D25" s="5" t="inlineStr">
        <is>
          <t>Talent Acquisition Exec</t>
        </is>
      </c>
      <c r="E25" s="6" t="n">
        <v>49000</v>
      </c>
      <c r="F25" s="4" t="n">
        <v>3</v>
      </c>
      <c r="G25" s="4">
        <f>IF(E25&gt;=75000, "High Earner", "Standard")</f>
        <v/>
      </c>
    </row>
    <row r="26">
      <c r="A26" s="7" t="n">
        <v>106</v>
      </c>
      <c r="B26" s="8" t="inlineStr">
        <is>
          <t>Sneha Kulkarni</t>
        </is>
      </c>
      <c r="C26" s="8" t="inlineStr">
        <is>
          <t>Human Resources</t>
        </is>
      </c>
      <c r="D26" s="8" t="inlineStr">
        <is>
          <t>HR Executive</t>
        </is>
      </c>
      <c r="E26" s="9" t="n">
        <v>48000</v>
      </c>
      <c r="F26" s="7" t="n">
        <v>4</v>
      </c>
      <c r="G26" s="7">
        <f>IF(E26&gt;=75000, "High Earner", "Standard")</f>
        <v/>
      </c>
    </row>
    <row r="27">
      <c r="A27" s="4" t="n">
        <v>123</v>
      </c>
      <c r="B27" s="5" t="inlineStr">
        <is>
          <t>Nikhil Shukla</t>
        </is>
      </c>
      <c r="C27" s="5" t="inlineStr">
        <is>
          <t>Finance</t>
        </is>
      </c>
      <c r="D27" s="5" t="inlineStr">
        <is>
          <t>Finance Executive</t>
        </is>
      </c>
      <c r="E27" s="6" t="n">
        <v>48000</v>
      </c>
      <c r="F27" s="4" t="n">
        <v>3</v>
      </c>
      <c r="G27" s="4">
        <f>IF(E27&gt;=75000, "High Earner", "Standard")</f>
        <v/>
      </c>
    </row>
    <row r="28">
      <c r="A28" s="7" t="n">
        <v>119</v>
      </c>
      <c r="B28" s="8" t="inlineStr">
        <is>
          <t>Kunal Pandey</t>
        </is>
      </c>
      <c r="C28" s="8" t="inlineStr">
        <is>
          <t>Data Analytics</t>
        </is>
      </c>
      <c r="D28" s="8" t="inlineStr">
        <is>
          <t>Junior Data Analyst</t>
        </is>
      </c>
      <c r="E28" s="9" t="n">
        <v>45000</v>
      </c>
      <c r="F28" s="7" t="n">
        <v>3</v>
      </c>
      <c r="G28" s="7">
        <f>IF(E28&gt;=75000, "High Earner", "Standard")</f>
        <v/>
      </c>
    </row>
    <row r="29">
      <c r="A29" s="4" t="n">
        <v>125</v>
      </c>
      <c r="B29" s="5" t="inlineStr">
        <is>
          <t>Tanvi Bansal</t>
        </is>
      </c>
      <c r="C29" s="5" t="inlineStr">
        <is>
          <t>Unassigned</t>
        </is>
      </c>
      <c r="D29" s="5" t="inlineStr">
        <is>
          <t>Graduate Trainee</t>
        </is>
      </c>
      <c r="E29" s="6" t="n">
        <v>32000</v>
      </c>
      <c r="F29" s="4" t="n">
        <v>3</v>
      </c>
      <c r="G29" s="4">
        <f>IF(E29&gt;=75000, "High Earner", "Standard")</f>
        <v/>
      </c>
    </row>
  </sheetData>
  <mergeCells count="11">
    <mergeCell ref="I14:J14"/>
    <mergeCell ref="I12:J12"/>
    <mergeCell ref="I6:J6"/>
    <mergeCell ref="I7:J7"/>
    <mergeCell ref="I10:J10"/>
    <mergeCell ref="I4:L4"/>
    <mergeCell ref="I11:J11"/>
    <mergeCell ref="I5:J5"/>
    <mergeCell ref="I13:J13"/>
    <mergeCell ref="I8:J8"/>
    <mergeCell ref="I9:J9"/>
  </mergeCells>
  <conditionalFormatting sqref="E5:E29">
    <cfRule type="cellIs" priority="1" operator="greaterThanOrEqual" dxfId="0">
      <formula>75000</formula>
    </cfRule>
  </conditionalFormatting>
  <conditionalFormatting sqref="F5:F29">
    <cfRule type="cellIs" priority="2" operator="equal" dxfId="1">
      <formula>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21" customWidth="1" min="2" max="2"/>
    <col width="12" customWidth="1" min="3" max="3"/>
    <col width="14" customWidth="1" min="4" max="4"/>
    <col width="38" customWidth="1" min="5" max="5"/>
    <col width="54" customWidth="1" min="6" max="6"/>
    <col width="12" customWidth="1" min="7" max="7"/>
    <col width="12" customWidth="1" min="8" max="8"/>
    <col width="41" customWidth="1" min="9" max="9"/>
    <col width="32" customWidth="1" min="10" max="10"/>
    <col width="17" customWidth="1" min="11" max="11"/>
    <col width="42" customWidth="1" min="12" max="12"/>
    <col width="15" customWidth="1" min="13" max="13"/>
  </cols>
  <sheetData>
    <row r="1">
      <c r="A1" s="1" t="inlineStr">
        <is>
          <t>RELATIONAL LOOKUPS: VLOOKUP vs. XLOOKUP</t>
        </is>
      </c>
    </row>
    <row r="2">
      <c r="A2" s="2" t="inlineStr">
        <is>
          <t>Task 8: Demonstrating exact-match vertical lookup (VLOOKUP) and modern bi-directional lookup (XLOOKUP).</t>
        </is>
      </c>
    </row>
    <row r="3"/>
    <row r="4" ht="25" customHeight="1">
      <c r="A4" s="3" t="inlineStr">
        <is>
          <t>Emp ID</t>
        </is>
      </c>
      <c r="B4" s="3" t="inlineStr">
        <is>
          <t>Employee Name</t>
        </is>
      </c>
      <c r="C4" s="3" t="inlineStr">
        <is>
          <t>Dept ID</t>
        </is>
      </c>
      <c r="D4" s="3" t="inlineStr">
        <is>
          <t>Salary</t>
        </is>
      </c>
      <c r="E4" s="3" t="inlineStr">
        <is>
          <t>Department Name (VLOOKUP)</t>
        </is>
      </c>
      <c r="F4" s="3" t="inlineStr">
        <is>
          <t>Manager Name (XLOOKUP)</t>
        </is>
      </c>
      <c r="I4" s="20" t="inlineStr">
        <is>
          <t>Dept ID</t>
        </is>
      </c>
      <c r="J4" s="20" t="inlineStr">
        <is>
          <t>Department Name</t>
        </is>
      </c>
      <c r="K4" s="20" t="inlineStr">
        <is>
          <t>Manager Name</t>
        </is>
      </c>
      <c r="L4" s="20" t="inlineStr">
        <is>
          <t>Location</t>
        </is>
      </c>
      <c r="M4" s="20" t="inlineStr">
        <is>
          <t>Budget (INR)</t>
        </is>
      </c>
    </row>
    <row r="5">
      <c r="A5" s="4" t="n"/>
      <c r="B5" s="5" t="n"/>
      <c r="C5" s="4" t="n"/>
      <c r="D5" s="6" t="n"/>
      <c r="E5" s="5" t="n"/>
      <c r="F5" s="5" t="n"/>
      <c r="I5" s="4" t="n">
        <v>1</v>
      </c>
      <c r="J5" s="21" t="inlineStr">
        <is>
          <t>Engineering</t>
        </is>
      </c>
      <c r="K5" s="21" t="inlineStr">
        <is>
          <t>Rajesh Sharma</t>
        </is>
      </c>
      <c r="L5" s="21" t="inlineStr">
        <is>
          <t>Indore</t>
        </is>
      </c>
      <c r="M5" s="6" t="n">
        <v>1200000</v>
      </c>
    </row>
    <row r="6">
      <c r="A6" s="7" t="n"/>
      <c r="B6" s="8" t="n"/>
      <c r="C6" s="7" t="n"/>
      <c r="D6" s="9" t="n"/>
      <c r="E6" s="8" t="n"/>
      <c r="F6" s="8" t="n"/>
      <c r="I6" s="4" t="n">
        <v>2</v>
      </c>
      <c r="J6" s="21" t="inlineStr">
        <is>
          <t>Data Analytics</t>
        </is>
      </c>
      <c r="K6" s="21" t="inlineStr">
        <is>
          <t>Pooja Verma</t>
        </is>
      </c>
      <c r="L6" s="21" t="inlineStr">
        <is>
          <t>Indore</t>
        </is>
      </c>
      <c r="M6" s="6" t="n">
        <v>850000</v>
      </c>
    </row>
    <row r="7">
      <c r="A7" s="4" t="n"/>
      <c r="B7" s="5" t="n"/>
      <c r="C7" s="4" t="n"/>
      <c r="D7" s="6" t="n"/>
      <c r="E7" s="5" t="n"/>
      <c r="F7" s="5" t="n"/>
      <c r="I7" s="4" t="n">
        <v>3</v>
      </c>
      <c r="J7" s="21" t="inlineStr">
        <is>
          <t>Human Resources</t>
        </is>
      </c>
      <c r="K7" s="21" t="inlineStr">
        <is>
          <t>Anjali Mehta</t>
        </is>
      </c>
      <c r="L7" s="21" t="inlineStr">
        <is>
          <t>Bhopal</t>
        </is>
      </c>
      <c r="M7" s="6" t="n">
        <v>500000</v>
      </c>
    </row>
    <row r="8">
      <c r="A8" s="7" t="n"/>
      <c r="B8" s="8" t="n"/>
      <c r="C8" s="7" t="n"/>
      <c r="D8" s="9" t="n"/>
      <c r="E8" s="8" t="n"/>
      <c r="F8" s="8" t="n"/>
      <c r="I8" s="4" t="n">
        <v>4</v>
      </c>
      <c r="J8" s="21" t="inlineStr">
        <is>
          <t>Sales &amp; Marketing</t>
        </is>
      </c>
      <c r="K8" s="21" t="inlineStr">
        <is>
          <t>Vikram Singh</t>
        </is>
      </c>
      <c r="L8" s="21" t="inlineStr">
        <is>
          <t>Indore</t>
        </is>
      </c>
      <c r="M8" s="6" t="n">
        <v>950000</v>
      </c>
    </row>
    <row r="9">
      <c r="A9" s="4" t="n"/>
      <c r="B9" s="5" t="n"/>
      <c r="C9" s="4" t="n"/>
      <c r="D9" s="6" t="n"/>
      <c r="E9" s="5" t="n"/>
      <c r="F9" s="5" t="n"/>
      <c r="I9" s="4" t="n">
        <v>5</v>
      </c>
      <c r="J9" s="21" t="inlineStr">
        <is>
          <t>Finance</t>
        </is>
      </c>
      <c r="K9" s="21" t="inlineStr">
        <is>
          <t>Suresh Nair</t>
        </is>
      </c>
      <c r="L9" s="21" t="inlineStr">
        <is>
          <t>Bhopal</t>
        </is>
      </c>
      <c r="M9" s="6" t="n">
        <v>750000</v>
      </c>
    </row>
    <row r="10">
      <c r="A10" s="7" t="n"/>
      <c r="B10" s="8" t="n"/>
      <c r="C10" s="7" t="n"/>
      <c r="D10" s="9" t="n"/>
      <c r="E10" s="8" t="n"/>
      <c r="F10" s="8" t="n"/>
      <c r="I10" s="4" t="n">
        <v>6</v>
      </c>
      <c r="J10" s="21" t="inlineStr">
        <is>
          <t>Research &amp; Development</t>
        </is>
      </c>
      <c r="K10" s="21" t="inlineStr">
        <is>
          <t>Dr. Meena Iyer</t>
        </is>
      </c>
      <c r="L10" s="21" t="inlineStr">
        <is>
          <t>Indore</t>
        </is>
      </c>
      <c r="M10" s="6" t="n">
        <v>1100000</v>
      </c>
    </row>
    <row r="11">
      <c r="A11" s="4" t="n">
        <v>121</v>
      </c>
      <c r="B11" s="5" t="inlineStr">
        <is>
          <t>Amit Chouhan</t>
        </is>
      </c>
      <c r="C11" s="4" t="n">
        <v>1</v>
      </c>
      <c r="D11" s="6" t="n">
        <v>115000</v>
      </c>
      <c r="E11" s="5">
        <f>VLOOKUP(C5, $I$5:$M$10, 2, FALSE)</f>
        <v/>
      </c>
      <c r="F11" s="5">
        <f>XLOOKUP(C5, $I$5:$I$10, $K$5:$K$10, "Unassigned")</f>
        <v/>
      </c>
    </row>
    <row r="12">
      <c r="A12" s="7" t="n">
        <v>109</v>
      </c>
      <c r="B12" s="8" t="inlineStr">
        <is>
          <t>Varun Deshmukh</t>
        </is>
      </c>
      <c r="C12" s="7" t="n">
        <v>4</v>
      </c>
      <c r="D12" s="9" t="n">
        <v>92000</v>
      </c>
      <c r="E12" s="8">
        <f>VLOOKUP(C6, $I$5:$M$10, 2, FALSE)</f>
        <v/>
      </c>
      <c r="F12" s="8">
        <f>XLOOKUP(C6, $I$5:$I$10, $K$5:$K$10, "Unassigned")</f>
        <v/>
      </c>
      <c r="I12" s="22" t="inlineStr">
        <is>
          <t>VLOOKUP vs. XLOOKUP FEATURE COMPARISON</t>
        </is>
      </c>
    </row>
    <row r="13">
      <c r="A13" s="4" t="n">
        <v>101</v>
      </c>
      <c r="B13" s="5" t="inlineStr">
        <is>
          <t>Aarav Sharma</t>
        </is>
      </c>
      <c r="C13" s="4" t="n">
        <v>1</v>
      </c>
      <c r="D13" s="6" t="n">
        <v>88000</v>
      </c>
      <c r="E13" s="5">
        <f>VLOOKUP(C7, $I$5:$M$10, 2, FALSE)</f>
        <v/>
      </c>
      <c r="F13" s="5">
        <f>XLOOKUP(C7, $I$5:$I$10, $K$5:$K$10, "Unassigned")</f>
        <v/>
      </c>
      <c r="I13" s="14" t="inlineStr">
        <is>
          <t>Feature</t>
        </is>
      </c>
      <c r="J13" s="14" t="inlineStr">
        <is>
          <t>VLOOKUP</t>
        </is>
      </c>
      <c r="K13" s="14" t="n"/>
      <c r="L13" s="14" t="inlineStr">
        <is>
          <t>XLOOKUP</t>
        </is>
      </c>
      <c r="M13" s="14" t="n"/>
    </row>
    <row r="14">
      <c r="A14" s="7" t="n">
        <v>124</v>
      </c>
      <c r="B14" s="8" t="inlineStr">
        <is>
          <t>Bhavna Rawat</t>
        </is>
      </c>
      <c r="C14" s="7" t="n">
        <v>2</v>
      </c>
      <c r="D14" s="9" t="n">
        <v>88000</v>
      </c>
      <c r="E14" s="8">
        <f>VLOOKUP(C8, $I$5:$M$10, 2, FALSE)</f>
        <v/>
      </c>
      <c r="F14" s="8">
        <f>XLOOKUP(C8, $I$5:$I$10, $K$5:$K$10, "Unassigned")</f>
        <v/>
      </c>
      <c r="I14" s="21" t="inlineStr">
        <is>
          <t>Lookup Direction</t>
        </is>
      </c>
      <c r="J14" s="21" t="inlineStr">
        <is>
          <t>Left-to-Right Only</t>
        </is>
      </c>
      <c r="K14" s="21" t="n"/>
      <c r="L14" s="21" t="inlineStr">
        <is>
          <t>Any Direction (Left, Right, Up, Down)</t>
        </is>
      </c>
      <c r="M14" s="21" t="n"/>
    </row>
    <row r="15">
      <c r="A15" s="4" t="n">
        <v>104</v>
      </c>
      <c r="B15" s="5" t="inlineStr">
        <is>
          <t>Meera Rao</t>
        </is>
      </c>
      <c r="C15" s="4" t="n">
        <v>2</v>
      </c>
      <c r="D15" s="6" t="n">
        <v>85000</v>
      </c>
      <c r="E15" s="5">
        <f>VLOOKUP(C9, $I$5:$M$10, 2, FALSE)</f>
        <v/>
      </c>
      <c r="F15" s="5">
        <f>XLOOKUP(C9, $I$5:$I$10, $K$5:$K$10, "Unassigned")</f>
        <v/>
      </c>
      <c r="I15" s="21" t="inlineStr">
        <is>
          <t>Column Insertion Risk</t>
        </is>
      </c>
      <c r="J15" s="21" t="inlineStr">
        <is>
          <t>Breaks when columns change</t>
        </is>
      </c>
      <c r="K15" s="21" t="n"/>
      <c r="L15" s="21" t="inlineStr">
        <is>
          <t>Resilient; uses direct range references</t>
        </is>
      </c>
      <c r="M15" s="21" t="n"/>
    </row>
    <row r="16">
      <c r="A16" s="7" t="n">
        <v>112</v>
      </c>
      <c r="B16" s="8" t="inlineStr">
        <is>
          <t>Pooja Bhatia</t>
        </is>
      </c>
      <c r="C16" s="7" t="n">
        <v>3</v>
      </c>
      <c r="D16" s="9" t="n">
        <v>82000</v>
      </c>
      <c r="E16" s="8">
        <f>VLOOKUP(C10, $I$5:$M$10, 2, FALSE)</f>
        <v/>
      </c>
      <c r="F16" s="8">
        <f>XLOOKUP(C10, $I$5:$I$10, $K$5:$K$10, "Unassigned")</f>
        <v/>
      </c>
      <c r="I16" s="21" t="inlineStr">
        <is>
          <t>Default Match Mode</t>
        </is>
      </c>
      <c r="J16" s="21" t="inlineStr">
        <is>
          <t>Approximate (requires FALSE)</t>
        </is>
      </c>
      <c r="K16" s="21" t="n"/>
      <c r="L16" s="21" t="inlineStr">
        <is>
          <t>Exact Match by default</t>
        </is>
      </c>
      <c r="M16" s="21" t="n"/>
    </row>
    <row r="17">
      <c r="A17" s="4" t="n">
        <v>115</v>
      </c>
      <c r="B17" s="5" t="inlineStr">
        <is>
          <t>Gaurav Yadav</t>
        </is>
      </c>
      <c r="C17" s="4" t="n">
        <v>2</v>
      </c>
      <c r="D17" s="6" t="n">
        <v>80000</v>
      </c>
      <c r="E17" s="5">
        <f>VLOOKUP(C11, $I$5:$M$10, 2, FALSE)</f>
        <v/>
      </c>
      <c r="F17" s="5">
        <f>XLOOKUP(C11, $I$5:$I$10, $K$5:$K$10, "Unassigned")</f>
        <v/>
      </c>
      <c r="I17" s="21" t="inlineStr">
        <is>
          <t>Error Handling</t>
        </is>
      </c>
      <c r="J17" s="21" t="inlineStr">
        <is>
          <t>Requires nesting in IFERROR()</t>
        </is>
      </c>
      <c r="K17" s="21" t="n"/>
      <c r="L17" s="21" t="inlineStr">
        <is>
          <t>Built-in [if_not_found] parameter</t>
        </is>
      </c>
      <c r="M17" s="21" t="n"/>
    </row>
    <row r="18">
      <c r="A18" s="7" t="n">
        <v>103</v>
      </c>
      <c r="B18" s="8" t="inlineStr">
        <is>
          <t>Kabir Joshi</t>
        </is>
      </c>
      <c r="C18" s="7" t="n">
        <v>1</v>
      </c>
      <c r="D18" s="9" t="n">
        <v>78000</v>
      </c>
      <c r="E18" s="8">
        <f>VLOOKUP(C12, $I$5:$M$10, 2, FALSE)</f>
        <v/>
      </c>
      <c r="F18" s="8">
        <f>XLOOKUP(C12, $I$5:$I$10, $K$5:$K$10, "Unassigned")</f>
        <v/>
      </c>
      <c r="I18" s="21" t="inlineStr">
        <is>
          <t>Performance</t>
        </is>
      </c>
      <c r="J18" s="21" t="inlineStr">
        <is>
          <t>Slower on large tables</t>
        </is>
      </c>
      <c r="K18" s="21" t="n"/>
      <c r="L18" s="21" t="inlineStr">
        <is>
          <t>Significantly faster and lightweight</t>
        </is>
      </c>
      <c r="M18" s="21" t="n"/>
    </row>
    <row r="19">
      <c r="A19" s="4" t="n">
        <v>111</v>
      </c>
      <c r="B19" s="5" t="inlineStr">
        <is>
          <t>Manish Tiwari</t>
        </is>
      </c>
      <c r="C19" s="4" t="n">
        <v>5</v>
      </c>
      <c r="D19" s="6" t="n">
        <v>75000</v>
      </c>
      <c r="E19" s="5">
        <f>VLOOKUP(C13, $I$5:$M$10, 2, FALSE)</f>
        <v/>
      </c>
      <c r="F19" s="5">
        <f>XLOOKUP(C13, $I$5:$I$10, $K$5:$K$10, "Unassigned")</f>
        <v/>
      </c>
    </row>
    <row r="20">
      <c r="A20" s="7" t="n">
        <v>113</v>
      </c>
      <c r="B20" s="8" t="inlineStr">
        <is>
          <t>Siddharth Malhotra</t>
        </is>
      </c>
      <c r="C20" s="7" t="n">
        <v>1</v>
      </c>
      <c r="D20" s="9" t="n">
        <v>74000</v>
      </c>
      <c r="E20" s="8">
        <f>VLOOKUP(C14, $I$5:$M$10, 2, FALSE)</f>
        <v/>
      </c>
      <c r="F20" s="8">
        <f>XLOOKUP(C14, $I$5:$I$10, $K$5:$K$10, "Unassigned")</f>
        <v/>
      </c>
    </row>
    <row r="21">
      <c r="A21" s="4" t="n">
        <v>110</v>
      </c>
      <c r="B21" s="5" t="inlineStr">
        <is>
          <t>Ishita Chopra</t>
        </is>
      </c>
      <c r="C21" s="4" t="n">
        <v>2</v>
      </c>
      <c r="D21" s="6" t="n">
        <v>72000</v>
      </c>
      <c r="E21" s="5">
        <f>VLOOKUP(C15, $I$5:$M$10, 2, FALSE)</f>
        <v/>
      </c>
      <c r="F21" s="5">
        <f>XLOOKUP(C15, $I$5:$I$10, $K$5:$K$10, "Unassigned")</f>
        <v/>
      </c>
    </row>
    <row r="22">
      <c r="A22" s="7" t="n">
        <v>107</v>
      </c>
      <c r="B22" s="8" t="inlineStr">
        <is>
          <t>Aditya Mishra</t>
        </is>
      </c>
      <c r="C22" s="7" t="n">
        <v>5</v>
      </c>
      <c r="D22" s="9" t="n">
        <v>66000</v>
      </c>
      <c r="E22" s="8">
        <f>VLOOKUP(C16, $I$5:$M$10, 2, FALSE)</f>
        <v/>
      </c>
      <c r="F22" s="8">
        <f>XLOOKUP(C16, $I$5:$I$10, $K$5:$K$10, "Unassigned")</f>
        <v/>
      </c>
    </row>
    <row r="23">
      <c r="A23" s="4" t="n">
        <v>102</v>
      </c>
      <c r="B23" s="5" t="inlineStr">
        <is>
          <t>Diya Patel</t>
        </is>
      </c>
      <c r="C23" s="4" t="n">
        <v>2</v>
      </c>
      <c r="D23" s="6" t="n">
        <v>62000</v>
      </c>
      <c r="E23" s="5">
        <f>VLOOKUP(C17, $I$5:$M$10, 2, FALSE)</f>
        <v/>
      </c>
      <c r="F23" s="5">
        <f>XLOOKUP(C17, $I$5:$I$10, $K$5:$K$10, "Unassigned")</f>
        <v/>
      </c>
    </row>
    <row r="24">
      <c r="A24" s="7" t="n">
        <v>108</v>
      </c>
      <c r="B24" s="8" t="inlineStr">
        <is>
          <t>Neha Gupta</t>
        </is>
      </c>
      <c r="C24" s="7" t="n">
        <v>1</v>
      </c>
      <c r="D24" s="9" t="n">
        <v>60000</v>
      </c>
      <c r="E24" s="8">
        <f>VLOOKUP(C18, $I$5:$M$10, 2, FALSE)</f>
        <v/>
      </c>
      <c r="F24" s="8">
        <f>XLOOKUP(C18, $I$5:$I$10, $K$5:$K$10, "Unassigned")</f>
        <v/>
      </c>
    </row>
    <row r="25">
      <c r="A25" s="4" t="n">
        <v>116</v>
      </c>
      <c r="B25" s="5" t="inlineStr">
        <is>
          <t>Ananya Reddy</t>
        </is>
      </c>
      <c r="C25" s="4" t="n">
        <v>1</v>
      </c>
      <c r="D25" s="6" t="n">
        <v>59000</v>
      </c>
      <c r="E25" s="5">
        <f>VLOOKUP(C19, $I$5:$M$10, 2, FALSE)</f>
        <v/>
      </c>
      <c r="F25" s="5">
        <f>XLOOKUP(C19, $I$5:$I$10, $K$5:$K$10, "Unassigned")</f>
        <v/>
      </c>
    </row>
    <row r="26">
      <c r="A26" s="7" t="n">
        <v>118</v>
      </c>
      <c r="B26" s="8" t="inlineStr">
        <is>
          <t>Ritu Singhania</t>
        </is>
      </c>
      <c r="C26" s="7" t="n">
        <v>4</v>
      </c>
      <c r="D26" s="9" t="n">
        <v>58000</v>
      </c>
      <c r="E26" s="8">
        <f>VLOOKUP(C20, $I$5:$M$10, 2, FALSE)</f>
        <v/>
      </c>
      <c r="F26" s="8">
        <f>XLOOKUP(C20, $I$5:$I$10, $K$5:$K$10, "Unassigned")</f>
        <v/>
      </c>
    </row>
    <row r="27">
      <c r="A27" s="4" t="n">
        <v>105</v>
      </c>
      <c r="B27" s="5" t="inlineStr">
        <is>
          <t>Rohan Verma</t>
        </is>
      </c>
      <c r="C27" s="4" t="n">
        <v>4</v>
      </c>
      <c r="D27" s="6" t="n">
        <v>54000</v>
      </c>
      <c r="E27" s="5">
        <f>VLOOKUP(C21, $I$5:$M$10, 2, FALSE)</f>
        <v/>
      </c>
      <c r="F27" s="5">
        <f>XLOOKUP(C21, $I$5:$I$10, $K$5:$K$10, "Unassigned")</f>
        <v/>
      </c>
    </row>
    <row r="28">
      <c r="A28" s="7" t="n">
        <v>122</v>
      </c>
      <c r="B28" s="8" t="inlineStr">
        <is>
          <t>Sanjana Bose</t>
        </is>
      </c>
      <c r="C28" s="7" t="n">
        <v>4</v>
      </c>
      <c r="D28" s="9" t="n">
        <v>53000</v>
      </c>
      <c r="E28" s="8">
        <f>VLOOKUP(C22, $I$5:$M$10, 2, FALSE)</f>
        <v/>
      </c>
      <c r="F28" s="8">
        <f>XLOOKUP(C22, $I$5:$I$10, $K$5:$K$10, "Unassigned")</f>
        <v/>
      </c>
    </row>
    <row r="29">
      <c r="A29" s="4" t="n">
        <v>117</v>
      </c>
      <c r="B29" s="5" t="inlineStr">
        <is>
          <t>Harsh Vardhan</t>
        </is>
      </c>
      <c r="C29" s="4" t="n">
        <v>5</v>
      </c>
      <c r="D29" s="6" t="n">
        <v>52000</v>
      </c>
      <c r="E29" s="5">
        <f>VLOOKUP(C23, $I$5:$M$10, 2, FALSE)</f>
        <v/>
      </c>
      <c r="F29" s="5">
        <f>XLOOKUP(C23, $I$5:$I$10, $K$5:$K$10, "Unassigned")</f>
        <v/>
      </c>
    </row>
    <row r="30">
      <c r="A30" t="n">
        <v>114</v>
      </c>
      <c r="B30" t="inlineStr">
        <is>
          <t>Kavya Saxena</t>
        </is>
      </c>
      <c r="C30" t="n">
        <v>4</v>
      </c>
      <c r="D30" t="n">
        <v>51000</v>
      </c>
      <c r="E30">
        <f>VLOOKUP(C24, $I$5:$M$10, 2, FALSE)</f>
        <v/>
      </c>
      <c r="F30">
        <f>XLOOKUP(C24, $I$5:$I$10, $K$5:$K$10, "Unassigned")</f>
        <v/>
      </c>
    </row>
    <row r="31">
      <c r="A31" t="n">
        <v>120</v>
      </c>
      <c r="B31" t="inlineStr">
        <is>
          <t>Priyanka Dubey</t>
        </is>
      </c>
      <c r="C31" t="n">
        <v>3</v>
      </c>
      <c r="D31" t="n">
        <v>49000</v>
      </c>
      <c r="E31">
        <f>VLOOKUP(C25, $I$5:$M$10, 2, FALSE)</f>
        <v/>
      </c>
      <c r="F31">
        <f>XLOOKUP(C25, $I$5:$I$10, $K$5:$K$10, "Unassigned")</f>
        <v/>
      </c>
    </row>
    <row r="32">
      <c r="A32" t="n">
        <v>106</v>
      </c>
      <c r="B32" t="inlineStr">
        <is>
          <t>Sneha Kulkarni</t>
        </is>
      </c>
      <c r="C32" t="n">
        <v>3</v>
      </c>
      <c r="D32" t="n">
        <v>48000</v>
      </c>
      <c r="E32">
        <f>VLOOKUP(C26, $I$5:$M$10, 2, FALSE)</f>
        <v/>
      </c>
      <c r="F32">
        <f>XLOOKUP(C26, $I$5:$I$10, $K$5:$K$10, "Unassigned")</f>
        <v/>
      </c>
    </row>
    <row r="33">
      <c r="A33" t="n">
        <v>123</v>
      </c>
      <c r="B33" t="inlineStr">
        <is>
          <t>Nikhil Shukla</t>
        </is>
      </c>
      <c r="C33" t="n">
        <v>5</v>
      </c>
      <c r="D33" t="n">
        <v>48000</v>
      </c>
      <c r="E33">
        <f>VLOOKUP(C27, $I$5:$M$10, 2, FALSE)</f>
        <v/>
      </c>
      <c r="F33">
        <f>XLOOKUP(C27, $I$5:$I$10, $K$5:$K$10, "Unassigned")</f>
        <v/>
      </c>
    </row>
    <row r="34">
      <c r="A34" t="n">
        <v>119</v>
      </c>
      <c r="B34" t="inlineStr">
        <is>
          <t>Kunal Pandey</t>
        </is>
      </c>
      <c r="C34" t="n">
        <v>2</v>
      </c>
      <c r="D34" t="n">
        <v>45000</v>
      </c>
      <c r="E34">
        <f>VLOOKUP(C28, $I$5:$M$10, 2, FALSE)</f>
        <v/>
      </c>
      <c r="F34">
        <f>XLOOKUP(C28, $I$5:$I$10, $K$5:$K$10, "Unassigned")</f>
        <v/>
      </c>
    </row>
    <row r="35">
      <c r="A35" t="n">
        <v>125</v>
      </c>
      <c r="B35" t="inlineStr">
        <is>
          <t>Tanvi Bansal</t>
        </is>
      </c>
      <c r="C35" t="inlineStr">
        <is>
          <t>None</t>
        </is>
      </c>
      <c r="D35" t="n">
        <v>32000</v>
      </c>
      <c r="E35" t="inlineStr">
        <is>
          <t>N/A (No Dept)</t>
        </is>
      </c>
      <c r="F35">
        <f>XLOOKUP(C29, $I$5:$I$10, $K$5:$K$10, "Unassigned")</f>
        <v/>
      </c>
    </row>
  </sheetData>
  <mergeCells count="13">
    <mergeCell ref="I12:M12"/>
    <mergeCell ref="L17:M17"/>
    <mergeCell ref="L16:M16"/>
    <mergeCell ref="J16:K16"/>
    <mergeCell ref="J14:K14"/>
    <mergeCell ref="J15:K15"/>
    <mergeCell ref="L14:M14"/>
    <mergeCell ref="L15:M15"/>
    <mergeCell ref="J18:K18"/>
    <mergeCell ref="L18:M18"/>
    <mergeCell ref="J13:K13"/>
    <mergeCell ref="L13:M13"/>
    <mergeCell ref="J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5" customWidth="1" min="2" max="2"/>
    <col width="15" customWidth="1" min="3" max="3"/>
    <col width="22" customWidth="1" min="4" max="4"/>
    <col width="23" customWidth="1" min="5" max="5"/>
    <col width="25" customWidth="1" min="6" max="6"/>
    <col width="23" customWidth="1" min="7" max="7"/>
    <col width="12" customWidth="1" min="8" max="8"/>
    <col width="37" customWidth="1" min="9" max="9"/>
    <col width="9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DEPARTMENTAL ANALYTICS SUMMARY &amp; BUDGET CHART</t>
        </is>
      </c>
    </row>
    <row r="2">
      <c r="A2" s="2" t="inlineStr">
        <is>
          <t>Task 9: Aggregated Pivot Table summary and budget vs. actual payroll chart.</t>
        </is>
      </c>
    </row>
    <row r="3"/>
    <row r="4" ht="25" customHeight="1">
      <c r="A4" s="3" t="inlineStr">
        <is>
          <t>Department ID</t>
        </is>
      </c>
      <c r="B4" s="3" t="inlineStr">
        <is>
          <t>Department Name</t>
        </is>
      </c>
      <c r="C4" s="3" t="inlineStr">
        <is>
          <t>Headcount</t>
        </is>
      </c>
      <c r="D4" s="3" t="inlineStr">
        <is>
          <t>Total Payroll (INR)</t>
        </is>
      </c>
      <c r="E4" s="3" t="inlineStr">
        <is>
          <t>Average Salary (INR)</t>
        </is>
      </c>
      <c r="F4" s="3" t="inlineStr">
        <is>
          <t>Allocated Budget (INR)</t>
        </is>
      </c>
      <c r="G4" s="3" t="inlineStr">
        <is>
          <t>Budget Utilization %</t>
        </is>
      </c>
    </row>
    <row r="5">
      <c r="A5" s="4" t="n">
        <v>1</v>
      </c>
      <c r="B5" s="5" t="inlineStr">
        <is>
          <t>Engineering</t>
        </is>
      </c>
      <c r="C5" s="4" t="n">
        <v>6</v>
      </c>
      <c r="D5" s="6" t="n">
        <v>474000</v>
      </c>
      <c r="E5" s="6" t="n">
        <v>79000</v>
      </c>
      <c r="F5" s="6" t="n">
        <v>1200000</v>
      </c>
      <c r="G5" s="23">
        <f>D5/F5</f>
        <v/>
      </c>
    </row>
    <row r="6">
      <c r="A6" s="7" t="n">
        <v>2</v>
      </c>
      <c r="B6" s="8" t="inlineStr">
        <is>
          <t>Data Analytics</t>
        </is>
      </c>
      <c r="C6" s="7" t="n">
        <v>6</v>
      </c>
      <c r="D6" s="9" t="n">
        <v>432000</v>
      </c>
      <c r="E6" s="9" t="n">
        <v>72000</v>
      </c>
      <c r="F6" s="9" t="n">
        <v>850000</v>
      </c>
      <c r="G6" s="24">
        <f>D6/F6</f>
        <v/>
      </c>
    </row>
    <row r="7">
      <c r="A7" s="4" t="n">
        <v>3</v>
      </c>
      <c r="B7" s="5" t="inlineStr">
        <is>
          <t>Human Resources</t>
        </is>
      </c>
      <c r="C7" s="4" t="n">
        <v>3</v>
      </c>
      <c r="D7" s="6" t="n">
        <v>179000</v>
      </c>
      <c r="E7" s="6" t="n">
        <v>59666.67</v>
      </c>
      <c r="F7" s="6" t="n">
        <v>500000</v>
      </c>
      <c r="G7" s="23">
        <f>D7/F7</f>
        <v/>
      </c>
    </row>
    <row r="8">
      <c r="A8" s="7" t="n">
        <v>4</v>
      </c>
      <c r="B8" s="8" t="inlineStr">
        <is>
          <t>Sales &amp; Marketing</t>
        </is>
      </c>
      <c r="C8" s="7" t="n">
        <v>5</v>
      </c>
      <c r="D8" s="9" t="n">
        <v>308000</v>
      </c>
      <c r="E8" s="9" t="n">
        <v>61600</v>
      </c>
      <c r="F8" s="9" t="n">
        <v>950000</v>
      </c>
      <c r="G8" s="24">
        <f>D8/F8</f>
        <v/>
      </c>
    </row>
    <row r="9">
      <c r="A9" s="4" t="n">
        <v>5</v>
      </c>
      <c r="B9" s="5" t="inlineStr">
        <is>
          <t>Finance</t>
        </is>
      </c>
      <c r="C9" s="4" t="n">
        <v>4</v>
      </c>
      <c r="D9" s="6" t="n">
        <v>241000</v>
      </c>
      <c r="E9" s="6" t="n">
        <v>60250</v>
      </c>
      <c r="F9" s="6" t="n">
        <v>750000</v>
      </c>
      <c r="G9" s="23">
        <f>D9/F9</f>
        <v/>
      </c>
    </row>
    <row r="10">
      <c r="A10" s="7" t="n">
        <v>6</v>
      </c>
      <c r="B10" s="8" t="inlineStr">
        <is>
          <t>Research &amp; Development</t>
        </is>
      </c>
      <c r="C10" s="7" t="n">
        <v>0</v>
      </c>
      <c r="D10" s="9" t="n">
        <v>0</v>
      </c>
      <c r="E10" s="9" t="n">
        <v>0</v>
      </c>
      <c r="F10" s="9" t="n">
        <v>1100000</v>
      </c>
      <c r="G10" s="24">
        <f>D10/F10</f>
        <v/>
      </c>
    </row>
    <row r="11">
      <c r="A11" s="25" t="inlineStr">
        <is>
          <t>COMPANY TOTAL</t>
        </is>
      </c>
      <c r="B11" s="11" t="n"/>
      <c r="C11" s="25">
        <f>SUM(C5:C10)</f>
        <v/>
      </c>
      <c r="D11" s="26">
        <f>SUM(D5:D10)</f>
        <v/>
      </c>
      <c r="E11" s="26">
        <f>AVERAGE(E5:E10)</f>
        <v/>
      </c>
      <c r="F11" s="26">
        <f>SUM(F5:F10)</f>
        <v/>
      </c>
      <c r="G11" s="27">
        <f>D11/F11</f>
        <v/>
      </c>
    </row>
    <row r="12"/>
    <row r="13"/>
    <row r="14">
      <c r="I14" s="22" t="inlineStr">
        <is>
          <t>CHART ANALYSIS &amp; BUSINESS INSIGHTS</t>
        </is>
      </c>
    </row>
    <row r="15">
      <c r="I15" s="28" t="inlineStr">
        <is>
          <t>1. Headcount &amp; Payroll Leader:</t>
        </is>
      </c>
      <c r="J15" s="21" t="inlineStr">
        <is>
          <t>Engineering incurs the highest monthly payroll (₹474,000) with 6 staff.</t>
        </is>
      </c>
      <c r="K15" s="29" t="n"/>
      <c r="L15" s="29" t="n"/>
      <c r="M15" s="29" t="n"/>
    </row>
    <row r="16">
      <c r="I16" s="28" t="inlineStr">
        <is>
          <t>2. Highest Budget Allocation:</t>
        </is>
      </c>
      <c r="J16" s="21" t="inlineStr">
        <is>
          <t>Engineering holds the largest budget (₹1.2M), followed by R&amp;D (₹1.1M).</t>
        </is>
      </c>
      <c r="K16" s="29" t="n"/>
      <c r="L16" s="29" t="n"/>
      <c r="M16" s="29" t="n"/>
    </row>
    <row r="17">
      <c r="I17" s="28" t="inlineStr">
        <is>
          <t>3. Budget Utilization:</t>
        </is>
      </c>
      <c r="J17" s="21" t="inlineStr">
        <is>
          <t>All active departments operate comfortably within allocation (utilization ranges 32% to 51%).</t>
        </is>
      </c>
      <c r="K17" s="29" t="n"/>
      <c r="L17" s="29" t="n"/>
      <c r="M17" s="29" t="n"/>
    </row>
    <row r="18">
      <c r="I18" s="28" t="inlineStr">
        <is>
          <t>4. Unstaffed Department:</t>
        </is>
      </c>
      <c r="J18" s="21" t="inlineStr">
        <is>
          <t>R&amp;D has a ₹1.1M budget but currently 0 employees, representing planned future hiring.</t>
        </is>
      </c>
      <c r="K18" s="29" t="n"/>
      <c r="L18" s="29" t="n"/>
      <c r="M18" s="29" t="n"/>
    </row>
    <row r="19">
      <c r="I19" s="28" t="inlineStr">
        <is>
          <t>5. Average Compensation:</t>
        </is>
      </c>
      <c r="J19" s="21" t="inlineStr">
        <is>
          <t>Engineering (₹79,000) and Data Analytics (₹72,000) lead in average employee remuneration.</t>
        </is>
      </c>
      <c r="K19" s="29" t="n"/>
      <c r="L19" s="29" t="n"/>
      <c r="M19" s="29" t="n"/>
    </row>
  </sheetData>
  <mergeCells count="6">
    <mergeCell ref="J17:M17"/>
    <mergeCell ref="I14:M14"/>
    <mergeCell ref="J16:M16"/>
    <mergeCell ref="J15:M15"/>
    <mergeCell ref="J18:M18"/>
    <mergeCell ref="J19:M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2026-09-28T04:52:59Z</dcterms:created>
  <dcterms:modified xsi:type="dcterms:W3CDTF">2026-09-28T04:53:00Z</dcterms:modified>
</cp:coreProperties>
</file>